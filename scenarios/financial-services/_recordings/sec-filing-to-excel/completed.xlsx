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2"/>
  <workbookPr/>
  <bookViews>
    <workbookView xWindow="-98" yWindow="-98" windowWidth="24016" windowHeight="12196" xr2:uid="{00000000-000D-0000-FFFF-FFFF00000000}"/>
  </bookViews>
  <sheets>
    <sheet name="Statement" sheetId="1" r:id="rId1"/>
    <sheet name="Raw paste" sheetId="2" r:id="rId2"/>
    <sheet name="Sources" sheetId="3" r:id="rId3"/>
    <sheet name="Review" sheetId="4" r:id="rId4"/>
    <sheet name="Guid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C18" i="1"/>
  <c r="B18" i="1"/>
  <c r="C17" i="1"/>
  <c r="B17" i="1"/>
  <c r="C15" i="1"/>
  <c r="B15" i="1"/>
  <c r="C14" i="1"/>
  <c r="B14" i="1"/>
  <c r="C13" i="1"/>
  <c r="B13" i="1"/>
  <c r="C12" i="1"/>
  <c r="B12" i="1"/>
  <c r="E10" i="1"/>
  <c r="D10" i="1"/>
  <c r="E9" i="1"/>
  <c r="D9" i="1"/>
  <c r="E8" i="1"/>
  <c r="D8" i="1"/>
  <c r="E7" i="1"/>
  <c r="D7" i="1"/>
  <c r="E6" i="1"/>
  <c r="D6" i="1"/>
  <c r="E5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Pilot preparation script</author>
  </authors>
  <commentList>
    <comment ref="A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Rows 5-10 mirror six captions of the consolidated statement, in statement order.
Source: The Coca-Cola Company FY2024 Form 10-K, Item 8, Consolidated Statements of Income, printed page 62, accession 0000021344-25-000011, https://www.sec.gov/Archives/edgar/data/21344/000002134425000011/ko-20241231.htm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Type the 2024 column of the consolidated statement here (USD millions).
Do not use the equity-method investee summary table.</t>
        </r>
      </text>
    </comment>
    <comment ref="C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Type the 2023 column from the SAME filing here (USD millions).
Do not substitute a prior-year filing.</t>
        </r>
      </text>
    </comment>
    <comment ref="A20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Control reads "Pending inputs" until all twelve amounts are present, then reports whether the recomputation ties to the reported subtotals.</t>
        </r>
      </text>
    </comment>
  </commentList>
</comments>
</file>

<file path=xl/sharedStrings.xml><?xml version="1.0" encoding="utf-8"?>
<sst xmlns="http://schemas.openxmlformats.org/spreadsheetml/2006/main" count="278" uniqueCount="249">
  <si>
    <t>The Coca-Cola Company and Subsidiaries (KO) - Consolidated Statements of Income</t>
  </si>
  <si>
    <t>USD in millions, except per share data. Fiscal years ended December 31. Amounts are transferred from the FY2024 Form 10-K, Item 8; see the 'Sources' sheet for the full citation. Amounts and formulas are entered during the recorded session.</t>
  </si>
  <si>
    <t>Metric</t>
  </si>
  <si>
    <t>2024 ($mm)</t>
  </si>
  <si>
    <t>2023 ($mm)</t>
  </si>
  <si>
    <t>Change ($mm)</t>
  </si>
  <si>
    <t>Change (%)</t>
  </si>
  <si>
    <t>Net Operating Revenues</t>
  </si>
  <si>
    <t>Cost of goods sold</t>
  </si>
  <si>
    <t>Gross Profit</t>
  </si>
  <si>
    <t>Selling, general and administrative expenses</t>
  </si>
  <si>
    <t>Other operating charges</t>
  </si>
  <si>
    <t>Operating Income</t>
  </si>
  <si>
    <t>Recomputed gross profit</t>
  </si>
  <si>
    <t>Gross profit difference</t>
  </si>
  <si>
    <t>Recomputed operating income</t>
  </si>
  <si>
    <t>Operating income difference</t>
  </si>
  <si>
    <t>Gross margin</t>
  </si>
  <si>
    <t>Operating margin</t>
  </si>
  <si>
    <t>Control</t>
  </si>
  <si>
    <t>Source: The Coca-Cola Company FY2024 Form 10-K, Item 8, Consolidated Statements of Income, printed page 62, accession 0000021344-25-000011, https://www.sec.gov/Archives/edgar/data/21344/000002134425000011/ko-20241231.htm</t>
  </si>
  <si>
    <t>Raw paste - original statement table as copied from the filing</t>
  </si>
  <si>
    <t>Paste the copied source table starting at A5 and leave it unedited. The source HTML contains standalone '$' cells, blank spacer cells, non-breaking spaces after comma-formatted numbers, and a 2022 column; that is expected and is cleaned on the 'Statement' sheet, not here.</t>
  </si>
  <si>
    <t>Paste below this line</t>
  </si>
  <si>
    <t>Sources - filing identity and citation</t>
  </si>
  <si>
    <t>Source-checked reference metadata recorded before the session. No reported amounts are stored on this sheet.</t>
  </si>
  <si>
    <t>Field</t>
  </si>
  <si>
    <t>Value</t>
  </si>
  <si>
    <t>Company</t>
  </si>
  <si>
    <t>The Coca-Cola Company and Subsidiaries</t>
  </si>
  <si>
    <t>Ticker</t>
  </si>
  <si>
    <t>KO</t>
  </si>
  <si>
    <t>CIK</t>
  </si>
  <si>
    <t>0000021344</t>
  </si>
  <si>
    <t>Form type</t>
  </si>
  <si>
    <t>Form 10-K (annual report)</t>
  </si>
  <si>
    <t>Fiscal year ended</t>
  </si>
  <si>
    <t>2024-12-31</t>
  </si>
  <si>
    <t>Accession number</t>
  </si>
  <si>
    <t>0000021344-25-000011</t>
  </si>
  <si>
    <t>Primary document URL</t>
  </si>
  <si>
    <t>https://www.sec.gov/Archives/edgar/data/21344/000002134425000011/ko-20241231.htm</t>
  </si>
  <si>
    <t>Statement</t>
  </si>
  <si>
    <t>Item 8, Consolidated Statements of Income</t>
  </si>
  <si>
    <t>Printed page</t>
  </si>
  <si>
    <t>62</t>
  </si>
  <si>
    <t>In-document anchor observed</t>
  </si>
  <si>
    <t>#i9dbdca2a3d754daa96efadd0a7b755b5_124</t>
  </si>
  <si>
    <t>Heading immediately above table</t>
  </si>
  <si>
    <t>THE COCA-COLA COMPANY AND SUBSIDIARIES</t>
  </si>
  <si>
    <t>Statement caption</t>
  </si>
  <si>
    <t>CONSOLIDATED STATEMENTS OF INCOME</t>
  </si>
  <si>
    <t>Units caption</t>
  </si>
  <si>
    <t>(In millions except per share data)</t>
  </si>
  <si>
    <t>Column header in source</t>
  </si>
  <si>
    <t>Year Ended December 31, | 2024 | 2023 | 2022</t>
  </si>
  <si>
    <t>Columns transferred to Statement</t>
  </si>
  <si>
    <t>2024 and 2023 (both from this same filing)</t>
  </si>
  <si>
    <t>Column not transferred</t>
  </si>
  <si>
    <t>2022 (present in source table, out of scope for this pilot)</t>
  </si>
  <si>
    <t>Filing date</t>
  </si>
  <si>
    <t>2025-02-20 (read from the EDGAR filing index)</t>
  </si>
  <si>
    <t>Period of report</t>
  </si>
  <si>
    <t>Filing index URL</t>
  </si>
  <si>
    <t>https://www.sec.gov/Archives/edgar/data/21344/000002134425000011/0000021344-25-000011-index.html</t>
  </si>
  <si>
    <t>Date accessed</t>
  </si>
  <si>
    <t>2026-09-16</t>
  </si>
  <si>
    <t>Retrieval method</t>
  </si>
  <si>
    <t>Original SEC filing read in a browser with UI-assisted observation</t>
  </si>
  <si>
    <t>Table deliberately EXCLUDED</t>
  </si>
  <si>
    <t>The separate equity-method investee summary table later in the same 10-K repeats similar revenue and gross profit captions with different amounts. It is not the consolidated company statement and must not be used.</t>
  </si>
  <si>
    <t>Amounts</t>
  </si>
  <si>
    <t>Intentionally not stored on this sheet. Amounts are typed into 'Statement' during the recorded session and are cited back to the reference above.</t>
  </si>
  <si>
    <t>Review - questions raised during the session</t>
  </si>
  <si>
    <t>Fill in only what is actually observed. Do not pre-seed an issue, and do not invent a discrepancy with the issuer's reported figures.</t>
  </si>
  <si>
    <t>Issue</t>
  </si>
  <si>
    <t>Evidence</t>
  </si>
  <si>
    <t>Disposition</t>
  </si>
  <si>
    <t>Reviewer status</t>
  </si>
  <si>
    <t>Guide - analyst steps and formula references</t>
  </si>
  <si>
    <t>Working notes for the person doing the task. Formula text below is stored as text, not as live formulas, and no resulting amounts are pre-filled.</t>
  </si>
  <si>
    <t>Step</t>
  </si>
  <si>
    <t>Action</t>
  </si>
  <si>
    <t>Confirm the source table first: company heading, 'CONSOLIDATED STATEMENTS OF INCOME', the '(In millions except per share data)' units caption, and the 'Year Ended December 31,' column header.</t>
  </si>
  <si>
    <t>Reject the equity-method investee summary table. It reuses similar captions with different amounts and is not the consolidated company statement.</t>
  </si>
  <si>
    <t>Paste the original statement table into 'Raw paste' starting at A5. Leave rows 1-4 as the sheet's own title and note.</t>
  </si>
  <si>
    <t>Type the six 2024 amounts into B5:B10 and the six 2023 amounts into C5:C10. Blue text on a yellow fill marks values transcribed from the filing.</t>
  </si>
  <si>
    <t>Type the change formulas in D5:D10 and the guarded percent-change formulas in E5:E10.</t>
  </si>
  <si>
    <t>Type the recomputation block in B12:C15, the margins in B17:C18, and the control in B20.</t>
  </si>
  <si>
    <t>Read the control cell and the two difference rows. Report what they actually say. Do not edit a reported amount to force a tie.</t>
  </si>
  <si>
    <t>Record any question on the 'Review' sheet with its evidence and disposition.</t>
  </si>
  <si>
    <t>Save the working draft locally with Ctrl+S. A human reviews the result; nothing is posted, paid, traded, or issued as advice.</t>
  </si>
  <si>
    <t>Cell</t>
  </si>
  <si>
    <t>Formula to type on 'Statement'</t>
  </si>
  <si>
    <t>Meaning</t>
  </si>
  <si>
    <t>D5</t>
  </si>
  <si>
    <t>=B5-C5</t>
  </si>
  <si>
    <t>Year-over-year change</t>
  </si>
  <si>
    <t>D6</t>
  </si>
  <si>
    <t>=B6-C6</t>
  </si>
  <si>
    <t>D7</t>
  </si>
  <si>
    <t>=B7-C7</t>
  </si>
  <si>
    <t>D8</t>
  </si>
  <si>
    <t>=B8-C8</t>
  </si>
  <si>
    <t>D9</t>
  </si>
  <si>
    <t>=B9-C9</t>
  </si>
  <si>
    <t>D10</t>
  </si>
  <si>
    <t>=B10-C10</t>
  </si>
  <si>
    <t>E5</t>
  </si>
  <si>
    <t>=IF(C5=0,"Not meaningful",D5/C5)</t>
  </si>
  <si>
    <t>Percent change, guarded only against a true zero prior-year base</t>
  </si>
  <si>
    <t>E6</t>
  </si>
  <si>
    <t>=IF(C6=0,"Not meaningful",D6/C6)</t>
  </si>
  <si>
    <t>E7</t>
  </si>
  <si>
    <t>=IF(C7=0,"Not meaningful",D7/C7)</t>
  </si>
  <si>
    <t>E8</t>
  </si>
  <si>
    <t>=IF(C8=0,"Not meaningful",D8/C8)</t>
  </si>
  <si>
    <t>E9</t>
  </si>
  <si>
    <t>=IF(C9=0,"Not meaningful",D9/C9)</t>
  </si>
  <si>
    <t>E10</t>
  </si>
  <si>
    <t>=IF(C10=0,"Not meaningful",D10/C10)</t>
  </si>
  <si>
    <t>B12</t>
  </si>
  <si>
    <t>=B5-B6</t>
  </si>
  <si>
    <t>Recomputed gross profit (2024)</t>
  </si>
  <si>
    <t>C12</t>
  </si>
  <si>
    <t>=C5-C6</t>
  </si>
  <si>
    <t>Recomputed gross profit (2023)</t>
  </si>
  <si>
    <t>B13</t>
  </si>
  <si>
    <t>=B12-B7</t>
  </si>
  <si>
    <t>Gross profit difference (2024)</t>
  </si>
  <si>
    <t>C13</t>
  </si>
  <si>
    <t>=C12-C7</t>
  </si>
  <si>
    <t>Gross profit difference (2023)</t>
  </si>
  <si>
    <t>B14</t>
  </si>
  <si>
    <t>=B12-B8-B9</t>
  </si>
  <si>
    <t>Recomputed operating income (2024)</t>
  </si>
  <si>
    <t>C14</t>
  </si>
  <si>
    <t>=C12-C8-C9</t>
  </si>
  <si>
    <t>Recomputed operating income (2023)</t>
  </si>
  <si>
    <t>B15</t>
  </si>
  <si>
    <t>=B14-B10</t>
  </si>
  <si>
    <t>Operating income difference (2024)</t>
  </si>
  <si>
    <t>C15</t>
  </si>
  <si>
    <t>=C14-C10</t>
  </si>
  <si>
    <t>Operating income difference (2023)</t>
  </si>
  <si>
    <t>B17</t>
  </si>
  <si>
    <t>=B12/B5</t>
  </si>
  <si>
    <t>Gross margin (2024)</t>
  </si>
  <si>
    <t>C17</t>
  </si>
  <si>
    <t>=C12/C5</t>
  </si>
  <si>
    <t>Gross margin (2023)</t>
  </si>
  <si>
    <t>B18</t>
  </si>
  <si>
    <t>=B14/B5</t>
  </si>
  <si>
    <t>Operating margin (2024)</t>
  </si>
  <si>
    <t>C18</t>
  </si>
  <si>
    <t>=C14/C5</t>
  </si>
  <si>
    <t>Operating margin (2023)</t>
  </si>
  <si>
    <t>B20</t>
  </si>
  <si>
    <t>=IF(COUNT(B5:C10)&lt;12,"Pending inputs",IF(AND(B13=0,C13=0,B15=0,C15=0),"Ties to filing","Review difference"))</t>
  </si>
  <si>
    <t>Control status for the whole transfer</t>
  </si>
  <si>
    <t>Colour</t>
  </si>
  <si>
    <t>Convention</t>
  </si>
  <si>
    <t>Blue text on yellow fill</t>
  </si>
  <si>
    <t>Typed input taken from the filing</t>
  </si>
  <si>
    <t>Black text</t>
  </si>
  <si>
    <t>Formula or calculation</t>
  </si>
  <si>
    <t>Green text</t>
  </si>
  <si>
    <t>Link to another sheet in this workbook</t>
  </si>
  <si>
    <t>Red text</t>
  </si>
  <si>
    <t>Link to another file (not used in this pilot)</t>
  </si>
  <si>
    <t>Year Ended December 31,</t>
  </si>
  <si>
    <t>$</t>
  </si>
  <si>
    <r>
      <t>47,061</t>
    </r>
    <r>
      <rPr>
        <sz val="10"/>
        <color rgb="FF000000"/>
        <rFont val="Times New Roman"/>
        <family val="1"/>
      </rPr>
      <t> </t>
    </r>
  </si>
  <si>
    <t>45,754 </t>
  </si>
  <si>
    <r>
      <t>18,324</t>
    </r>
    <r>
      <rPr>
        <sz val="10"/>
        <color rgb="FF000000"/>
        <rFont val="Times New Roman"/>
        <family val="1"/>
      </rPr>
      <t> </t>
    </r>
  </si>
  <si>
    <t>18,520 </t>
  </si>
  <si>
    <r>
      <t>28,737</t>
    </r>
    <r>
      <rPr>
        <sz val="10"/>
        <color rgb="FF000000"/>
        <rFont val="Times New Roman"/>
        <family val="1"/>
      </rPr>
      <t> </t>
    </r>
  </si>
  <si>
    <t>27,234 </t>
  </si>
  <si>
    <r>
      <t>14,582</t>
    </r>
    <r>
      <rPr>
        <sz val="10"/>
        <color rgb="FF000000"/>
        <rFont val="Times New Roman"/>
        <family val="1"/>
      </rPr>
      <t> </t>
    </r>
  </si>
  <si>
    <t>13,972 </t>
  </si>
  <si>
    <r>
      <t>4,163</t>
    </r>
    <r>
      <rPr>
        <sz val="10"/>
        <color rgb="FF000000"/>
        <rFont val="Times New Roman"/>
        <family val="1"/>
      </rPr>
      <t> </t>
    </r>
  </si>
  <si>
    <t>1,951 </t>
  </si>
  <si>
    <r>
      <t>9,992</t>
    </r>
    <r>
      <rPr>
        <sz val="10"/>
        <color rgb="FF000000"/>
        <rFont val="Times New Roman"/>
        <family val="1"/>
      </rPr>
      <t> </t>
    </r>
  </si>
  <si>
    <t>11,311 </t>
  </si>
  <si>
    <t>Interest income</t>
  </si>
  <si>
    <r>
      <t>988</t>
    </r>
    <r>
      <rPr>
        <sz val="10"/>
        <color rgb="FF000000"/>
        <rFont val="Times New Roman"/>
        <family val="1"/>
      </rPr>
      <t> </t>
    </r>
  </si>
  <si>
    <t>907 </t>
  </si>
  <si>
    <t>Interest expense</t>
  </si>
  <si>
    <r>
      <t>1,656</t>
    </r>
    <r>
      <rPr>
        <sz val="10"/>
        <color rgb="FF000000"/>
        <rFont val="Times New Roman"/>
        <family val="1"/>
      </rPr>
      <t> </t>
    </r>
  </si>
  <si>
    <t>1,527 </t>
  </si>
  <si>
    <t>Equity income (loss) — net</t>
  </si>
  <si>
    <r>
      <t>1,770</t>
    </r>
    <r>
      <rPr>
        <sz val="10"/>
        <color rgb="FF000000"/>
        <rFont val="Times New Roman"/>
        <family val="1"/>
      </rPr>
      <t> </t>
    </r>
  </si>
  <si>
    <t>1,691 </t>
  </si>
  <si>
    <t>Other income (loss) — net</t>
  </si>
  <si>
    <r>
      <t>1,992</t>
    </r>
    <r>
      <rPr>
        <sz val="10"/>
        <color rgb="FF000000"/>
        <rFont val="Times New Roman"/>
        <family val="1"/>
      </rPr>
      <t> </t>
    </r>
  </si>
  <si>
    <t>570 </t>
  </si>
  <si>
    <t>Income Before Income Taxes</t>
  </si>
  <si>
    <r>
      <t>13,086</t>
    </r>
    <r>
      <rPr>
        <sz val="10"/>
        <color rgb="FF000000"/>
        <rFont val="Times New Roman"/>
        <family val="1"/>
      </rPr>
      <t> </t>
    </r>
  </si>
  <si>
    <t>12,952 </t>
  </si>
  <si>
    <t>Income taxes</t>
  </si>
  <si>
    <r>
      <t>2,437</t>
    </r>
    <r>
      <rPr>
        <sz val="10"/>
        <color rgb="FF000000"/>
        <rFont val="Times New Roman"/>
        <family val="1"/>
      </rPr>
      <t> </t>
    </r>
  </si>
  <si>
    <t>2,249 </t>
  </si>
  <si>
    <t>Consolidated Net Income</t>
  </si>
  <si>
    <r>
      <t>10,649</t>
    </r>
    <r>
      <rPr>
        <sz val="10"/>
        <color rgb="FF000000"/>
        <rFont val="Times New Roman"/>
        <family val="1"/>
      </rPr>
      <t> </t>
    </r>
  </si>
  <si>
    <t>10,703 </t>
  </si>
  <si>
    <t>Less: Net income (loss) attributable to noncontrolling interests</t>
  </si>
  <si>
    <r>
      <t>18</t>
    </r>
    <r>
      <rPr>
        <sz val="10"/>
        <color rgb="FF000000"/>
        <rFont val="Times New Roman"/>
        <family val="1"/>
      </rPr>
      <t> </t>
    </r>
  </si>
  <si>
    <t>Net Income Attributable to Shareowners of The Coca-Cola Company</t>
  </si>
  <si>
    <r>
      <t>10,631</t>
    </r>
    <r>
      <rPr>
        <sz val="10"/>
        <color rgb="FF000000"/>
        <rFont val="Times New Roman"/>
        <family val="1"/>
      </rPr>
      <t> </t>
    </r>
  </si>
  <si>
    <t>10,714 </t>
  </si>
  <si>
    <r>
      <t>Basic Net Income Per Share</t>
    </r>
    <r>
      <rPr>
        <b/>
        <sz val="5.85"/>
        <color rgb="FF000000"/>
        <rFont val="Times New Roman"/>
        <family val="1"/>
      </rPr>
      <t>1</t>
    </r>
  </si>
  <si>
    <r>
      <t>2.47</t>
    </r>
    <r>
      <rPr>
        <sz val="10"/>
        <color rgb="FF000000"/>
        <rFont val="Times New Roman"/>
        <family val="1"/>
      </rPr>
      <t> </t>
    </r>
  </si>
  <si>
    <t>2.48 </t>
  </si>
  <si>
    <r>
      <t>Diluted Net Income Per Share</t>
    </r>
    <r>
      <rPr>
        <b/>
        <sz val="5.85"/>
        <color rgb="FF000000"/>
        <rFont val="Times New Roman"/>
        <family val="1"/>
      </rPr>
      <t>1</t>
    </r>
  </si>
  <si>
    <r>
      <t>2.46</t>
    </r>
    <r>
      <rPr>
        <sz val="10"/>
        <color rgb="FF000000"/>
        <rFont val="Times New Roman"/>
        <family val="1"/>
      </rPr>
      <t> </t>
    </r>
  </si>
  <si>
    <t>2.47 </t>
  </si>
  <si>
    <t>Average Shares Outstanding — Basic</t>
  </si>
  <si>
    <r>
      <t>4,309</t>
    </r>
    <r>
      <rPr>
        <sz val="10"/>
        <color rgb="FF000000"/>
        <rFont val="Times New Roman"/>
        <family val="1"/>
      </rPr>
      <t> </t>
    </r>
  </si>
  <si>
    <t>4,323 </t>
  </si>
  <si>
    <t>Effect of dilutive securities</t>
  </si>
  <si>
    <r>
      <t>11</t>
    </r>
    <r>
      <rPr>
        <sz val="10"/>
        <color rgb="FF000000"/>
        <rFont val="Times New Roman"/>
        <family val="1"/>
      </rPr>
      <t> </t>
    </r>
  </si>
  <si>
    <t>16 </t>
  </si>
  <si>
    <t>Average Shares Outstanding — Diluted</t>
  </si>
  <si>
    <r>
      <t>4,320</t>
    </r>
    <r>
      <rPr>
        <sz val="10"/>
        <color rgb="FF000000"/>
        <rFont val="Times New Roman"/>
        <family val="1"/>
      </rPr>
      <t> </t>
    </r>
  </si>
  <si>
    <t>4,339 </t>
  </si>
  <si>
    <t>43,004 </t>
  </si>
  <si>
    <t>18,000 </t>
  </si>
  <si>
    <t>25,004 </t>
  </si>
  <si>
    <t>12,880 </t>
  </si>
  <si>
    <t>1,215 </t>
  </si>
  <si>
    <t>10,909 </t>
  </si>
  <si>
    <t>449 </t>
  </si>
  <si>
    <t>882 </t>
  </si>
  <si>
    <t>1,472 </t>
  </si>
  <si>
    <t>11,686 </t>
  </si>
  <si>
    <t>2,115 </t>
  </si>
  <si>
    <t>9,571 </t>
  </si>
  <si>
    <t>29 </t>
  </si>
  <si>
    <t>9,542 </t>
  </si>
  <si>
    <t>2.20 </t>
  </si>
  <si>
    <t>2.19 </t>
  </si>
  <si>
    <t>4,328 </t>
  </si>
  <si>
    <t>22 </t>
  </si>
  <si>
    <t>4,350 </t>
  </si>
  <si>
    <t>Source scope</t>
  </si>
  <si>
    <t>FY2024 10-K, Item 8, p. 62; USD millions</t>
  </si>
  <si>
    <t>Company statement used; investee summary excluded</t>
  </si>
  <si>
    <t>Pending human review</t>
  </si>
  <si>
    <t>Status: Draft populated from filing; pending human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</si>
</sst>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&quot;-&quot;"/>
    <numFmt numFmtId="165" formatCode="0.0%;\(0.0%\);&quot;-&quot;"/>
  </numFmts>
  <fonts count="18" x14ac:knownFonts="1">
    <font>
      <sz val="11"/>
      <color theme="1"/>
      <name val="Calibri"/>
      <family val="2"/>
      <scheme val="minor"/>
    </font>
    <font>
      <b/>
      <sz val="16"/>
      <color rgb="FF000000"/>
      <name val="Arial"/>
    </font>
    <font>
      <sz val="12"/>
      <color rgb="FF595959"/>
      <name val="Arial"/>
    </font>
    <font>
      <b/>
      <sz val="14"/>
      <color rgb="FF000000"/>
      <name val="Arial"/>
    </font>
    <font>
      <sz val="14"/>
      <color rgb="FF000000"/>
      <name val="Arial"/>
    </font>
    <font>
      <sz val="14"/>
      <color rgb="FF0000FF"/>
      <name val="Arial"/>
    </font>
    <font>
      <i/>
      <sz val="11"/>
      <color rgb="FF595959"/>
      <name val="Arial"/>
    </font>
    <font>
      <sz val="11"/>
      <color rgb="FF595959"/>
      <name val="Arial"/>
    </font>
    <font>
      <sz val="14"/>
      <color rgb="FF008000"/>
      <name val="Arial"/>
    </font>
    <font>
      <sz val="14"/>
      <color rgb="FFFF0000"/>
      <name val="Arial"/>
    </font>
    <font>
      <sz val="11"/>
      <color theme="1"/>
      <name val="Times New Roman"/>
      <family val="1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5.85"/>
      <color rgb="FF000000"/>
      <name val="Times New Roman"/>
      <family val="1"/>
    </font>
    <font>
      <sz val="14"/>
      <color rgb="FF000000"/>
      <name val="Arial"/>
      <family val="2"/>
    </font>
    <font>
      <i/>
      <sz val="11"/>
      <color rgb="FF59595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EEFF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64" fontId="5" fillId="2" borderId="2" xfId="0" applyNumberFormat="1" applyFont="1" applyFill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  <xf numFmtId="0" fontId="13" fillId="3" borderId="3" xfId="0" applyFont="1" applyFill="1" applyBorder="1" applyAlignment="1">
      <alignment horizontal="left" wrapText="1"/>
    </xf>
    <xf numFmtId="0" fontId="13" fillId="3" borderId="3" xfId="0" applyFont="1" applyFill="1" applyBorder="1" applyAlignment="1">
      <alignment horizontal="right" wrapText="1"/>
    </xf>
    <xf numFmtId="0" fontId="10" fillId="3" borderId="3" xfId="0" applyFont="1" applyFill="1" applyBorder="1" applyAlignment="1">
      <alignment horizontal="right" wrapText="1"/>
    </xf>
    <xf numFmtId="0" fontId="14" fillId="3" borderId="3" xfId="0" applyFont="1" applyFill="1" applyBorder="1" applyAlignment="1">
      <alignment horizontal="left" wrapText="1"/>
    </xf>
    <xf numFmtId="0" fontId="14" fillId="3" borderId="3" xfId="0" applyFont="1" applyFill="1" applyBorder="1" applyAlignment="1">
      <alignment horizontal="right" wrapText="1"/>
    </xf>
    <xf numFmtId="0" fontId="10" fillId="4" borderId="0" xfId="0" applyFont="1" applyFill="1" applyAlignment="1">
      <alignment horizontal="right" wrapText="1"/>
    </xf>
    <xf numFmtId="0" fontId="10" fillId="3" borderId="0" xfId="0" applyFont="1" applyFill="1" applyAlignment="1">
      <alignment horizontal="right" wrapText="1"/>
    </xf>
    <xf numFmtId="0" fontId="10" fillId="4" borderId="3" xfId="0" applyFont="1" applyFill="1" applyBorder="1" applyAlignment="1">
      <alignment horizontal="right" wrapText="1"/>
    </xf>
    <xf numFmtId="0" fontId="13" fillId="4" borderId="4" xfId="0" applyFont="1" applyFill="1" applyBorder="1" applyAlignment="1">
      <alignment horizontal="left" wrapText="1"/>
    </xf>
    <xf numFmtId="0" fontId="13" fillId="4" borderId="4" xfId="0" applyFont="1" applyFill="1" applyBorder="1" applyAlignment="1">
      <alignment horizontal="right" wrapText="1"/>
    </xf>
    <xf numFmtId="0" fontId="10" fillId="4" borderId="4" xfId="0" applyFont="1" applyFill="1" applyBorder="1" applyAlignment="1">
      <alignment horizontal="right" wrapText="1"/>
    </xf>
    <xf numFmtId="0" fontId="14" fillId="4" borderId="4" xfId="0" applyFont="1" applyFill="1" applyBorder="1" applyAlignment="1">
      <alignment horizontal="left" wrapText="1"/>
    </xf>
    <xf numFmtId="0" fontId="14" fillId="4" borderId="4" xfId="0" applyFont="1" applyFill="1" applyBorder="1" applyAlignment="1">
      <alignment horizontal="right" wrapText="1"/>
    </xf>
    <xf numFmtId="0" fontId="13" fillId="3" borderId="4" xfId="0" applyFont="1" applyFill="1" applyBorder="1" applyAlignment="1">
      <alignment horizontal="left" wrapText="1"/>
    </xf>
    <xf numFmtId="0" fontId="13" fillId="3" borderId="4" xfId="0" applyFont="1" applyFill="1" applyBorder="1" applyAlignment="1">
      <alignment horizontal="right" wrapText="1"/>
    </xf>
    <xf numFmtId="0" fontId="10" fillId="3" borderId="4" xfId="0" applyFont="1" applyFill="1" applyBorder="1" applyAlignment="1">
      <alignment horizontal="right" wrapText="1"/>
    </xf>
    <xf numFmtId="0" fontId="14" fillId="3" borderId="4" xfId="0" applyFont="1" applyFill="1" applyBorder="1" applyAlignment="1">
      <alignment horizontal="left" wrapText="1"/>
    </xf>
    <xf numFmtId="0" fontId="14" fillId="3" borderId="4" xfId="0" applyFont="1" applyFill="1" applyBorder="1" applyAlignment="1">
      <alignment horizontal="right" wrapText="1"/>
    </xf>
    <xf numFmtId="0" fontId="10" fillId="4" borderId="5" xfId="0" applyFont="1" applyFill="1" applyBorder="1" applyAlignment="1">
      <alignment horizontal="right" wrapText="1"/>
    </xf>
    <xf numFmtId="0" fontId="11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right" wrapText="1"/>
    </xf>
    <xf numFmtId="0" fontId="11" fillId="0" borderId="1" xfId="0" applyFont="1" applyBorder="1" applyAlignment="1">
      <alignment horizontal="right" wrapText="1"/>
    </xf>
    <xf numFmtId="0" fontId="13" fillId="3" borderId="3" xfId="0" applyFont="1" applyFill="1" applyBorder="1" applyAlignment="1">
      <alignment horizontal="left" wrapText="1"/>
    </xf>
    <xf numFmtId="0" fontId="14" fillId="4" borderId="0" xfId="0" applyFont="1" applyFill="1" applyAlignment="1">
      <alignment horizontal="left" wrapText="1"/>
    </xf>
    <xf numFmtId="0" fontId="14" fillId="4" borderId="1" xfId="0" applyFont="1" applyFill="1" applyBorder="1" applyAlignment="1">
      <alignment horizontal="left" wrapText="1"/>
    </xf>
    <xf numFmtId="0" fontId="13" fillId="4" borderId="0" xfId="0" applyFont="1" applyFill="1" applyAlignment="1">
      <alignment horizontal="right" wrapText="1"/>
    </xf>
    <xf numFmtId="0" fontId="13" fillId="4" borderId="1" xfId="0" applyFont="1" applyFill="1" applyBorder="1" applyAlignment="1">
      <alignment horizontal="right" wrapText="1"/>
    </xf>
    <xf numFmtId="0" fontId="14" fillId="4" borderId="0" xfId="0" applyFont="1" applyFill="1" applyAlignment="1">
      <alignment horizontal="right" wrapText="1"/>
    </xf>
    <xf numFmtId="0" fontId="14" fillId="4" borderId="1" xfId="0" applyFont="1" applyFill="1" applyBorder="1" applyAlignment="1">
      <alignment horizontal="right" wrapText="1"/>
    </xf>
    <xf numFmtId="0" fontId="13" fillId="3" borderId="3" xfId="0" applyFont="1" applyFill="1" applyBorder="1" applyAlignment="1">
      <alignment horizontal="right" wrapText="1"/>
    </xf>
    <xf numFmtId="0" fontId="14" fillId="3" borderId="3" xfId="0" applyFont="1" applyFill="1" applyBorder="1" applyAlignment="1">
      <alignment horizontal="right" wrapText="1"/>
    </xf>
    <xf numFmtId="0" fontId="14" fillId="3" borderId="0" xfId="0" applyFont="1" applyFill="1" applyAlignment="1">
      <alignment horizontal="left" wrapText="1"/>
    </xf>
    <xf numFmtId="0" fontId="14" fillId="3" borderId="1" xfId="0" applyFont="1" applyFill="1" applyBorder="1" applyAlignment="1">
      <alignment horizontal="left" wrapText="1"/>
    </xf>
    <xf numFmtId="0" fontId="13" fillId="3" borderId="0" xfId="0" applyFont="1" applyFill="1" applyAlignment="1">
      <alignment horizontal="right" wrapText="1"/>
    </xf>
    <xf numFmtId="0" fontId="13" fillId="3" borderId="1" xfId="0" applyFont="1" applyFill="1" applyBorder="1" applyAlignment="1">
      <alignment horizontal="right" wrapText="1"/>
    </xf>
    <xf numFmtId="0" fontId="14" fillId="3" borderId="0" xfId="0" applyFont="1" applyFill="1" applyAlignment="1">
      <alignment horizontal="right" wrapText="1"/>
    </xf>
    <xf numFmtId="0" fontId="14" fillId="3" borderId="1" xfId="0" applyFont="1" applyFill="1" applyBorder="1" applyAlignment="1">
      <alignment horizontal="right" wrapText="1"/>
    </xf>
    <xf numFmtId="0" fontId="13" fillId="4" borderId="3" xfId="0" applyFont="1" applyFill="1" applyBorder="1" applyAlignment="1">
      <alignment horizontal="left" wrapText="1"/>
    </xf>
    <xf numFmtId="0" fontId="13" fillId="4" borderId="3" xfId="0" applyFont="1" applyFill="1" applyBorder="1" applyAlignment="1">
      <alignment horizontal="right" wrapText="1"/>
    </xf>
    <xf numFmtId="0" fontId="14" fillId="4" borderId="3" xfId="0" applyFont="1" applyFill="1" applyBorder="1" applyAlignment="1">
      <alignment horizontal="right" wrapText="1"/>
    </xf>
    <xf numFmtId="0" fontId="13" fillId="3" borderId="5" xfId="0" applyFont="1" applyFill="1" applyBorder="1" applyAlignment="1">
      <alignment horizontal="left" wrapText="1"/>
    </xf>
    <xf numFmtId="0" fontId="13" fillId="4" borderId="6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wrapText="1"/>
    </xf>
    <xf numFmtId="0" fontId="13" fillId="4" borderId="4" xfId="0" applyFont="1" applyFill="1" applyBorder="1" applyAlignment="1">
      <alignment horizontal="right" wrapText="1"/>
    </xf>
    <xf numFmtId="0" fontId="14" fillId="4" borderId="4" xfId="0" applyFont="1" applyFill="1" applyBorder="1" applyAlignment="1">
      <alignment horizontal="right" wrapText="1"/>
    </xf>
    <xf numFmtId="0" fontId="13" fillId="4" borderId="5" xfId="0" applyFont="1" applyFill="1" applyBorder="1" applyAlignment="1">
      <alignment horizontal="left" wrapText="1"/>
    </xf>
    <xf numFmtId="0" fontId="13" fillId="4" borderId="5" xfId="0" applyFont="1" applyFill="1" applyBorder="1" applyAlignment="1">
      <alignment horizontal="right" wrapText="1"/>
    </xf>
    <xf numFmtId="0" fontId="14" fillId="4" borderId="5" xfId="0" applyFont="1" applyFill="1" applyBorder="1" applyAlignment="1">
      <alignment horizontal="right" wrapText="1"/>
    </xf>
    <xf numFmtId="0" fontId="16" fillId="0" borderId="2" xfId="0" applyFont="1" applyBorder="1" applyAlignment="1">
      <alignment horizontal="left" vertical="top" wrapText="1"/>
    </xf>
    <xf numFmtId="0" fontId="16" fillId="0" borderId="7" xfId="0" applyFont="1" applyFill="1" applyBorder="1" applyAlignment="1">
      <alignment horizontal="left" vertical="top" wrapText="1"/>
    </xf>
    <xf numFmtId="0" fontId="1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23" sqref="A23"/>
    </sheetView>
  </sheetViews>
  <sheetFormatPr defaultRowHeight="14.25" x14ac:dyDescent="0.45"/>
  <cols>
    <col min="1" max="1" width="52" customWidth="1"/>
    <col min="2" max="4" width="18" customWidth="1"/>
    <col min="5" max="5" width="16" customWidth="1"/>
  </cols>
  <sheetData>
    <row r="1" spans="1:5" ht="24" customHeight="1" x14ac:dyDescent="0.45">
      <c r="A1" s="21" t="s">
        <v>0</v>
      </c>
      <c r="B1" s="20"/>
      <c r="C1" s="20"/>
      <c r="D1" s="20"/>
      <c r="E1" s="20"/>
    </row>
    <row r="2" spans="1:5" ht="32" customHeight="1" x14ac:dyDescent="0.45">
      <c r="A2" s="19" t="s">
        <v>1</v>
      </c>
      <c r="B2" s="20"/>
      <c r="C2" s="20"/>
      <c r="D2" s="20"/>
      <c r="E2" s="20"/>
    </row>
    <row r="4" spans="1:5" ht="34.049999999999997" customHeight="1" x14ac:dyDescent="0.45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ht="22.05" customHeight="1" x14ac:dyDescent="0.45">
      <c r="A5" s="3" t="s">
        <v>7</v>
      </c>
      <c r="B5" s="4">
        <v>47061</v>
      </c>
      <c r="C5" s="4">
        <v>45754</v>
      </c>
      <c r="D5" s="5">
        <f>B5-C5</f>
        <v>1307</v>
      </c>
      <c r="E5" s="6">
        <f>IF(C5=0,"Not meaningful",D5/C5)</f>
        <v>2.8565808453905668E-2</v>
      </c>
    </row>
    <row r="6" spans="1:5" ht="22.05" customHeight="1" x14ac:dyDescent="0.45">
      <c r="A6" s="3" t="s">
        <v>8</v>
      </c>
      <c r="B6" s="4">
        <v>18324</v>
      </c>
      <c r="C6" s="4">
        <v>18520</v>
      </c>
      <c r="D6" s="5">
        <f>B6-C6</f>
        <v>-196</v>
      </c>
      <c r="E6" s="6">
        <f>IF(C6=0,"Not meaningful",D6/C6)</f>
        <v>-1.0583153347732181E-2</v>
      </c>
    </row>
    <row r="7" spans="1:5" ht="22.05" customHeight="1" x14ac:dyDescent="0.45">
      <c r="A7" s="3" t="s">
        <v>9</v>
      </c>
      <c r="B7" s="4">
        <v>28737</v>
      </c>
      <c r="C7" s="4">
        <v>27234</v>
      </c>
      <c r="D7" s="5">
        <f>B7-C7</f>
        <v>1503</v>
      </c>
      <c r="E7" s="6">
        <f>IF(C7=0,"Not meaningful",D7/C7)</f>
        <v>5.5188367481824194E-2</v>
      </c>
    </row>
    <row r="8" spans="1:5" ht="22.05" customHeight="1" x14ac:dyDescent="0.45">
      <c r="A8" s="3" t="s">
        <v>10</v>
      </c>
      <c r="B8" s="4">
        <v>14582</v>
      </c>
      <c r="C8" s="4">
        <v>13972</v>
      </c>
      <c r="D8" s="5">
        <f>B8-C8</f>
        <v>610</v>
      </c>
      <c r="E8" s="6">
        <f>IF(C8=0,"Not meaningful",D8/C8)</f>
        <v>4.365874606355568E-2</v>
      </c>
    </row>
    <row r="9" spans="1:5" ht="22.05" customHeight="1" x14ac:dyDescent="0.45">
      <c r="A9" s="3" t="s">
        <v>11</v>
      </c>
      <c r="B9" s="4">
        <v>4163</v>
      </c>
      <c r="C9" s="4">
        <v>1951</v>
      </c>
      <c r="D9" s="5">
        <f>B9-C9</f>
        <v>2212</v>
      </c>
      <c r="E9" s="6">
        <f>IF(C9=0,"Not meaningful",D9/C9)</f>
        <v>1.1337775499743721</v>
      </c>
    </row>
    <row r="10" spans="1:5" ht="22.05" customHeight="1" x14ac:dyDescent="0.45">
      <c r="A10" s="3" t="s">
        <v>12</v>
      </c>
      <c r="B10" s="4">
        <v>9992</v>
      </c>
      <c r="C10" s="4">
        <v>11311</v>
      </c>
      <c r="D10" s="5">
        <f>B10-C10</f>
        <v>-1319</v>
      </c>
      <c r="E10" s="6">
        <f>IF(C10=0,"Not meaningful",D10/C10)</f>
        <v>-0.11661214746706745</v>
      </c>
    </row>
    <row r="12" spans="1:5" ht="22.05" customHeight="1" x14ac:dyDescent="0.45">
      <c r="A12" s="3" t="s">
        <v>13</v>
      </c>
      <c r="B12" s="5">
        <f>B5-B6</f>
        <v>28737</v>
      </c>
      <c r="C12" s="5">
        <f>C5-C6</f>
        <v>27234</v>
      </c>
    </row>
    <row r="13" spans="1:5" ht="22.05" customHeight="1" x14ac:dyDescent="0.45">
      <c r="A13" s="3" t="s">
        <v>14</v>
      </c>
      <c r="B13" s="5">
        <f>B12-B7</f>
        <v>0</v>
      </c>
      <c r="C13" s="5">
        <f>C12-C7</f>
        <v>0</v>
      </c>
    </row>
    <row r="14" spans="1:5" ht="22.05" customHeight="1" x14ac:dyDescent="0.45">
      <c r="A14" s="3" t="s">
        <v>15</v>
      </c>
      <c r="B14" s="5">
        <f>B12-B8-B9</f>
        <v>9992</v>
      </c>
      <c r="C14" s="5">
        <f>C12-C8-C9</f>
        <v>11311</v>
      </c>
    </row>
    <row r="15" spans="1:5" ht="22.05" customHeight="1" x14ac:dyDescent="0.45">
      <c r="A15" s="3" t="s">
        <v>16</v>
      </c>
      <c r="B15" s="5">
        <f>B14-B10</f>
        <v>0</v>
      </c>
      <c r="C15" s="5">
        <f>C14-C10</f>
        <v>0</v>
      </c>
    </row>
    <row r="17" spans="1:3" ht="22.05" customHeight="1" x14ac:dyDescent="0.45">
      <c r="A17" s="3" t="s">
        <v>17</v>
      </c>
      <c r="B17" s="6">
        <f>B12/B5</f>
        <v>0.61063300822336963</v>
      </c>
      <c r="C17" s="6">
        <f>C12/C5</f>
        <v>0.5952266468505486</v>
      </c>
    </row>
    <row r="18" spans="1:3" ht="22.05" customHeight="1" x14ac:dyDescent="0.45">
      <c r="A18" s="3" t="s">
        <v>18</v>
      </c>
      <c r="B18" s="6">
        <f>B14/B5</f>
        <v>0.21232018019166612</v>
      </c>
      <c r="C18" s="6">
        <f>C14/C5</f>
        <v>0.24721335839489444</v>
      </c>
    </row>
    <row r="20" spans="1:3" ht="22.05" customHeight="1" x14ac:dyDescent="0.45">
      <c r="A20" s="7" t="s">
        <v>19</v>
      </c>
      <c r="B20" s="8" t="str">
        <f>IF(COUNT(B5:C10)&lt;12,"Pending inputs",IF(AND(B13=0,C13=0,B15=0,C15=0),"Ties to filing","Review difference"))</f>
        <v>Ties to filing</v>
      </c>
    </row>
    <row r="22" spans="1:3" x14ac:dyDescent="0.45">
      <c r="A22" s="74" t="s">
        <v>248</v>
      </c>
    </row>
    <row r="23" spans="1:3" ht="30" customHeight="1" x14ac:dyDescent="0.45">
      <c r="A23" s="10" t="s">
        <v>20</v>
      </c>
    </row>
  </sheetData>
  <mergeCells count="2">
    <mergeCell ref="A2:E2"/>
    <mergeCell ref="A1:E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workbookViewId="0">
      <pane ySplit="4" topLeftCell="A5" activePane="bottomLeft" state="frozen"/>
      <selection pane="bottomLeft" activeCell="A5" sqref="A5:L26"/>
    </sheetView>
  </sheetViews>
  <sheetFormatPr defaultRowHeight="14.25" x14ac:dyDescent="0.45"/>
  <cols>
    <col min="1" max="1" width="26" customWidth="1"/>
    <col min="2" max="8" width="16" customWidth="1"/>
  </cols>
  <sheetData>
    <row r="1" spans="1:12" ht="24" customHeight="1" x14ac:dyDescent="0.45">
      <c r="A1" s="21" t="s">
        <v>21</v>
      </c>
      <c r="B1" s="21"/>
      <c r="C1" s="21"/>
      <c r="D1" s="21"/>
      <c r="E1" s="21"/>
      <c r="F1" s="21"/>
      <c r="G1" s="21"/>
      <c r="H1" s="21"/>
    </row>
    <row r="2" spans="1:12" ht="32" customHeight="1" x14ac:dyDescent="0.45">
      <c r="A2" s="19" t="s">
        <v>22</v>
      </c>
      <c r="B2" s="19"/>
      <c r="C2" s="19"/>
      <c r="D2" s="19"/>
      <c r="E2" s="19"/>
      <c r="F2" s="19"/>
      <c r="G2" s="19"/>
      <c r="H2" s="19"/>
    </row>
    <row r="4" spans="1:12" x14ac:dyDescent="0.45">
      <c r="A4" s="9" t="s">
        <v>23</v>
      </c>
    </row>
    <row r="5" spans="1:12" x14ac:dyDescent="0.4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ht="14.65" thickBot="1" x14ac:dyDescent="0.5">
      <c r="A6" s="42" t="s">
        <v>170</v>
      </c>
      <c r="B6" s="42"/>
      <c r="C6" s="42"/>
      <c r="D6" s="43">
        <v>2024</v>
      </c>
      <c r="E6" s="43"/>
      <c r="F6" s="43"/>
      <c r="G6" s="44">
        <v>2023</v>
      </c>
      <c r="H6" s="44"/>
      <c r="I6" s="44"/>
      <c r="J6" s="44">
        <v>2022</v>
      </c>
      <c r="K6" s="44"/>
      <c r="L6" s="44"/>
    </row>
    <row r="7" spans="1:12" x14ac:dyDescent="0.45">
      <c r="A7" s="45" t="s">
        <v>7</v>
      </c>
      <c r="B7" s="45"/>
      <c r="C7" s="45"/>
      <c r="D7" s="23" t="s">
        <v>171</v>
      </c>
      <c r="E7" s="24" t="s">
        <v>172</v>
      </c>
      <c r="F7" s="25"/>
      <c r="G7" s="26" t="s">
        <v>171</v>
      </c>
      <c r="H7" s="27" t="s">
        <v>173</v>
      </c>
      <c r="I7" s="25"/>
      <c r="J7" s="26" t="s">
        <v>171</v>
      </c>
      <c r="K7" s="27" t="s">
        <v>225</v>
      </c>
      <c r="L7" s="25"/>
    </row>
    <row r="8" spans="1:12" ht="14.65" thickBot="1" x14ac:dyDescent="0.5">
      <c r="A8" s="47" t="s">
        <v>8</v>
      </c>
      <c r="B8" s="47"/>
      <c r="C8" s="47"/>
      <c r="D8" s="49" t="s">
        <v>174</v>
      </c>
      <c r="E8" s="49"/>
      <c r="F8" s="28"/>
      <c r="G8" s="51" t="s">
        <v>175</v>
      </c>
      <c r="H8" s="51"/>
      <c r="I8" s="28"/>
      <c r="J8" s="51" t="s">
        <v>226</v>
      </c>
      <c r="K8" s="51"/>
      <c r="L8" s="28"/>
    </row>
    <row r="9" spans="1:12" x14ac:dyDescent="0.45">
      <c r="A9" s="45" t="s">
        <v>9</v>
      </c>
      <c r="B9" s="45"/>
      <c r="C9" s="45"/>
      <c r="D9" s="52" t="s">
        <v>176</v>
      </c>
      <c r="E9" s="52"/>
      <c r="F9" s="25"/>
      <c r="G9" s="53" t="s">
        <v>177</v>
      </c>
      <c r="H9" s="53"/>
      <c r="I9" s="25"/>
      <c r="J9" s="53" t="s">
        <v>227</v>
      </c>
      <c r="K9" s="53"/>
      <c r="L9" s="25"/>
    </row>
    <row r="10" spans="1:12" x14ac:dyDescent="0.45">
      <c r="A10" s="46" t="s">
        <v>10</v>
      </c>
      <c r="B10" s="46"/>
      <c r="C10" s="46"/>
      <c r="D10" s="48" t="s">
        <v>178</v>
      </c>
      <c r="E10" s="48"/>
      <c r="F10" s="28"/>
      <c r="G10" s="50" t="s">
        <v>179</v>
      </c>
      <c r="H10" s="50"/>
      <c r="I10" s="28"/>
      <c r="J10" s="50" t="s">
        <v>228</v>
      </c>
      <c r="K10" s="50"/>
      <c r="L10" s="28"/>
    </row>
    <row r="11" spans="1:12" ht="14.65" thickBot="1" x14ac:dyDescent="0.5">
      <c r="A11" s="55" t="s">
        <v>11</v>
      </c>
      <c r="B11" s="55"/>
      <c r="C11" s="55"/>
      <c r="D11" s="57" t="s">
        <v>180</v>
      </c>
      <c r="E11" s="57"/>
      <c r="F11" s="29"/>
      <c r="G11" s="59" t="s">
        <v>181</v>
      </c>
      <c r="H11" s="59"/>
      <c r="I11" s="29"/>
      <c r="J11" s="59" t="s">
        <v>229</v>
      </c>
      <c r="K11" s="59"/>
      <c r="L11" s="29"/>
    </row>
    <row r="12" spans="1:12" x14ac:dyDescent="0.45">
      <c r="A12" s="60" t="s">
        <v>12</v>
      </c>
      <c r="B12" s="60"/>
      <c r="C12" s="60"/>
      <c r="D12" s="61" t="s">
        <v>182</v>
      </c>
      <c r="E12" s="61"/>
      <c r="F12" s="30"/>
      <c r="G12" s="62" t="s">
        <v>183</v>
      </c>
      <c r="H12" s="62"/>
      <c r="I12" s="30"/>
      <c r="J12" s="62" t="s">
        <v>230</v>
      </c>
      <c r="K12" s="62"/>
      <c r="L12" s="30"/>
    </row>
    <row r="13" spans="1:12" x14ac:dyDescent="0.45">
      <c r="A13" s="54" t="s">
        <v>184</v>
      </c>
      <c r="B13" s="54"/>
      <c r="C13" s="54"/>
      <c r="D13" s="56" t="s">
        <v>185</v>
      </c>
      <c r="E13" s="56"/>
      <c r="F13" s="29"/>
      <c r="G13" s="58" t="s">
        <v>186</v>
      </c>
      <c r="H13" s="58"/>
      <c r="I13" s="29"/>
      <c r="J13" s="58" t="s">
        <v>231</v>
      </c>
      <c r="K13" s="58"/>
      <c r="L13" s="29"/>
    </row>
    <row r="14" spans="1:12" x14ac:dyDescent="0.45">
      <c r="A14" s="46" t="s">
        <v>187</v>
      </c>
      <c r="B14" s="46"/>
      <c r="C14" s="46"/>
      <c r="D14" s="48" t="s">
        <v>188</v>
      </c>
      <c r="E14" s="48"/>
      <c r="F14" s="28"/>
      <c r="G14" s="50" t="s">
        <v>189</v>
      </c>
      <c r="H14" s="50"/>
      <c r="I14" s="28"/>
      <c r="J14" s="50" t="s">
        <v>232</v>
      </c>
      <c r="K14" s="50"/>
      <c r="L14" s="28"/>
    </row>
    <row r="15" spans="1:12" x14ac:dyDescent="0.45">
      <c r="A15" s="54" t="s">
        <v>190</v>
      </c>
      <c r="B15" s="54"/>
      <c r="C15" s="54"/>
      <c r="D15" s="56" t="s">
        <v>191</v>
      </c>
      <c r="E15" s="56"/>
      <c r="F15" s="29"/>
      <c r="G15" s="58" t="s">
        <v>192</v>
      </c>
      <c r="H15" s="58"/>
      <c r="I15" s="29"/>
      <c r="J15" s="58" t="s">
        <v>233</v>
      </c>
      <c r="K15" s="58"/>
      <c r="L15" s="29"/>
    </row>
    <row r="16" spans="1:12" ht="14.65" thickBot="1" x14ac:dyDescent="0.5">
      <c r="A16" s="47" t="s">
        <v>193</v>
      </c>
      <c r="B16" s="47"/>
      <c r="C16" s="47"/>
      <c r="D16" s="49" t="s">
        <v>194</v>
      </c>
      <c r="E16" s="49"/>
      <c r="F16" s="28"/>
      <c r="G16" s="51" t="s">
        <v>195</v>
      </c>
      <c r="H16" s="51"/>
      <c r="I16" s="28"/>
      <c r="J16" s="51">
        <v>-262</v>
      </c>
      <c r="K16" s="51"/>
      <c r="L16" s="28"/>
    </row>
    <row r="17" spans="1:12" x14ac:dyDescent="0.45">
      <c r="A17" s="45" t="s">
        <v>196</v>
      </c>
      <c r="B17" s="45"/>
      <c r="C17" s="45"/>
      <c r="D17" s="52" t="s">
        <v>197</v>
      </c>
      <c r="E17" s="52"/>
      <c r="F17" s="25"/>
      <c r="G17" s="53" t="s">
        <v>198</v>
      </c>
      <c r="H17" s="53"/>
      <c r="I17" s="25"/>
      <c r="J17" s="53" t="s">
        <v>234</v>
      </c>
      <c r="K17" s="53"/>
      <c r="L17" s="25"/>
    </row>
    <row r="18" spans="1:12" ht="14.65" thickBot="1" x14ac:dyDescent="0.5">
      <c r="A18" s="47" t="s">
        <v>199</v>
      </c>
      <c r="B18" s="47"/>
      <c r="C18" s="47"/>
      <c r="D18" s="49" t="s">
        <v>200</v>
      </c>
      <c r="E18" s="49"/>
      <c r="F18" s="28"/>
      <c r="G18" s="51" t="s">
        <v>201</v>
      </c>
      <c r="H18" s="51"/>
      <c r="I18" s="28"/>
      <c r="J18" s="51" t="s">
        <v>235</v>
      </c>
      <c r="K18" s="51"/>
      <c r="L18" s="28"/>
    </row>
    <row r="19" spans="1:12" x14ac:dyDescent="0.45">
      <c r="A19" s="45" t="s">
        <v>202</v>
      </c>
      <c r="B19" s="45"/>
      <c r="C19" s="45"/>
      <c r="D19" s="52" t="s">
        <v>203</v>
      </c>
      <c r="E19" s="52"/>
      <c r="F19" s="25"/>
      <c r="G19" s="53" t="s">
        <v>204</v>
      </c>
      <c r="H19" s="53"/>
      <c r="I19" s="25"/>
      <c r="J19" s="53" t="s">
        <v>236</v>
      </c>
      <c r="K19" s="53"/>
      <c r="L19" s="25"/>
    </row>
    <row r="20" spans="1:12" ht="14.65" thickBot="1" x14ac:dyDescent="0.5">
      <c r="A20" s="47" t="s">
        <v>205</v>
      </c>
      <c r="B20" s="47"/>
      <c r="C20" s="47"/>
      <c r="D20" s="49" t="s">
        <v>206</v>
      </c>
      <c r="E20" s="49"/>
      <c r="F20" s="28"/>
      <c r="G20" s="51">
        <v>-11</v>
      </c>
      <c r="H20" s="51"/>
      <c r="I20" s="28"/>
      <c r="J20" s="51" t="s">
        <v>237</v>
      </c>
      <c r="K20" s="51"/>
      <c r="L20" s="28"/>
    </row>
    <row r="21" spans="1:12" ht="14.65" thickBot="1" x14ac:dyDescent="0.5">
      <c r="A21" s="63" t="s">
        <v>207</v>
      </c>
      <c r="B21" s="63"/>
      <c r="C21" s="63"/>
      <c r="D21" s="23" t="s">
        <v>171</v>
      </c>
      <c r="E21" s="24" t="s">
        <v>208</v>
      </c>
      <c r="F21" s="25"/>
      <c r="G21" s="26" t="s">
        <v>171</v>
      </c>
      <c r="H21" s="27" t="s">
        <v>209</v>
      </c>
      <c r="I21" s="25"/>
      <c r="J21" s="26" t="s">
        <v>171</v>
      </c>
      <c r="K21" s="27" t="s">
        <v>238</v>
      </c>
      <c r="L21" s="25"/>
    </row>
    <row r="22" spans="1:12" ht="15" thickTop="1" thickBot="1" x14ac:dyDescent="0.5">
      <c r="A22" s="64" t="s">
        <v>210</v>
      </c>
      <c r="B22" s="64"/>
      <c r="C22" s="64"/>
      <c r="D22" s="31" t="s">
        <v>171</v>
      </c>
      <c r="E22" s="32" t="s">
        <v>211</v>
      </c>
      <c r="F22" s="33"/>
      <c r="G22" s="34" t="s">
        <v>171</v>
      </c>
      <c r="H22" s="35" t="s">
        <v>212</v>
      </c>
      <c r="I22" s="33"/>
      <c r="J22" s="34" t="s">
        <v>171</v>
      </c>
      <c r="K22" s="35" t="s">
        <v>239</v>
      </c>
      <c r="L22" s="33"/>
    </row>
    <row r="23" spans="1:12" ht="15" thickTop="1" thickBot="1" x14ac:dyDescent="0.5">
      <c r="A23" s="65" t="s">
        <v>213</v>
      </c>
      <c r="B23" s="65"/>
      <c r="C23" s="65"/>
      <c r="D23" s="36" t="s">
        <v>171</v>
      </c>
      <c r="E23" s="37" t="s">
        <v>214</v>
      </c>
      <c r="F23" s="38"/>
      <c r="G23" s="39" t="s">
        <v>171</v>
      </c>
      <c r="H23" s="40" t="s">
        <v>215</v>
      </c>
      <c r="I23" s="38"/>
      <c r="J23" s="39" t="s">
        <v>171</v>
      </c>
      <c r="K23" s="40" t="s">
        <v>240</v>
      </c>
      <c r="L23" s="38"/>
    </row>
    <row r="24" spans="1:12" ht="14.65" thickTop="1" x14ac:dyDescent="0.45">
      <c r="A24" s="66" t="s">
        <v>216</v>
      </c>
      <c r="B24" s="66"/>
      <c r="C24" s="66"/>
      <c r="D24" s="67" t="s">
        <v>217</v>
      </c>
      <c r="E24" s="67"/>
      <c r="F24" s="33"/>
      <c r="G24" s="68" t="s">
        <v>218</v>
      </c>
      <c r="H24" s="68"/>
      <c r="I24" s="33"/>
      <c r="J24" s="68" t="s">
        <v>241</v>
      </c>
      <c r="K24" s="68"/>
      <c r="L24" s="33"/>
    </row>
    <row r="25" spans="1:12" ht="14.65" thickBot="1" x14ac:dyDescent="0.5">
      <c r="A25" s="55" t="s">
        <v>219</v>
      </c>
      <c r="B25" s="55"/>
      <c r="C25" s="55"/>
      <c r="D25" s="57" t="s">
        <v>220</v>
      </c>
      <c r="E25" s="57"/>
      <c r="F25" s="29"/>
      <c r="G25" s="59" t="s">
        <v>221</v>
      </c>
      <c r="H25" s="59"/>
      <c r="I25" s="29"/>
      <c r="J25" s="59" t="s">
        <v>242</v>
      </c>
      <c r="K25" s="59"/>
      <c r="L25" s="29"/>
    </row>
    <row r="26" spans="1:12" ht="14.65" thickBot="1" x14ac:dyDescent="0.5">
      <c r="A26" s="69" t="s">
        <v>222</v>
      </c>
      <c r="B26" s="69"/>
      <c r="C26" s="69"/>
      <c r="D26" s="70" t="s">
        <v>223</v>
      </c>
      <c r="E26" s="70"/>
      <c r="F26" s="41"/>
      <c r="G26" s="71" t="s">
        <v>224</v>
      </c>
      <c r="H26" s="71"/>
      <c r="I26" s="41"/>
      <c r="J26" s="71" t="s">
        <v>243</v>
      </c>
      <c r="K26" s="71"/>
      <c r="L26" s="41"/>
    </row>
    <row r="27" spans="1:12" ht="14.65" thickTop="1" x14ac:dyDescent="0.45"/>
  </sheetData>
  <mergeCells count="74">
    <mergeCell ref="A25:C25"/>
    <mergeCell ref="D25:E25"/>
    <mergeCell ref="G25:H25"/>
    <mergeCell ref="J25:K25"/>
    <mergeCell ref="A26:C26"/>
    <mergeCell ref="D26:E26"/>
    <mergeCell ref="G26:H26"/>
    <mergeCell ref="J26:K26"/>
    <mergeCell ref="J20:K20"/>
    <mergeCell ref="A23:C23"/>
    <mergeCell ref="A24:C24"/>
    <mergeCell ref="D24:E24"/>
    <mergeCell ref="G24:H24"/>
    <mergeCell ref="J24:K24"/>
    <mergeCell ref="J17:K17"/>
    <mergeCell ref="D18:E18"/>
    <mergeCell ref="G18:H18"/>
    <mergeCell ref="J18:K18"/>
    <mergeCell ref="D19:E19"/>
    <mergeCell ref="G19:H19"/>
    <mergeCell ref="J19:K19"/>
    <mergeCell ref="J12:K12"/>
    <mergeCell ref="J13:K13"/>
    <mergeCell ref="J14:K14"/>
    <mergeCell ref="J15:K15"/>
    <mergeCell ref="J16:K16"/>
    <mergeCell ref="J6:L6"/>
    <mergeCell ref="J8:K8"/>
    <mergeCell ref="J9:K9"/>
    <mergeCell ref="J10:K10"/>
    <mergeCell ref="J11:K11"/>
    <mergeCell ref="A22:C22"/>
    <mergeCell ref="D6:F6"/>
    <mergeCell ref="G6:I6"/>
    <mergeCell ref="D17:E17"/>
    <mergeCell ref="G17:H17"/>
    <mergeCell ref="A19:C19"/>
    <mergeCell ref="A20:C20"/>
    <mergeCell ref="D20:E20"/>
    <mergeCell ref="G20:H20"/>
    <mergeCell ref="A21:C21"/>
    <mergeCell ref="A16:C16"/>
    <mergeCell ref="D16:E16"/>
    <mergeCell ref="G16:H16"/>
    <mergeCell ref="A17:C17"/>
    <mergeCell ref="A18:C18"/>
    <mergeCell ref="A14:C14"/>
    <mergeCell ref="D14:E14"/>
    <mergeCell ref="G14:H14"/>
    <mergeCell ref="A15:C15"/>
    <mergeCell ref="D15:E15"/>
    <mergeCell ref="G15:H15"/>
    <mergeCell ref="A12:C12"/>
    <mergeCell ref="D12:E12"/>
    <mergeCell ref="G12:H12"/>
    <mergeCell ref="A13:C13"/>
    <mergeCell ref="D13:E13"/>
    <mergeCell ref="G13:H13"/>
    <mergeCell ref="A10:C10"/>
    <mergeCell ref="D10:E10"/>
    <mergeCell ref="G10:H10"/>
    <mergeCell ref="A11:C11"/>
    <mergeCell ref="D11:E11"/>
    <mergeCell ref="G11:H11"/>
    <mergeCell ref="A8:C8"/>
    <mergeCell ref="D8:E8"/>
    <mergeCell ref="G8:H8"/>
    <mergeCell ref="A9:C9"/>
    <mergeCell ref="D9:E9"/>
    <mergeCell ref="G9:H9"/>
    <mergeCell ref="A6:C6"/>
    <mergeCell ref="A7:C7"/>
    <mergeCell ref="A2:H2"/>
    <mergeCell ref="A1:H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>
      <pane ySplit="4" topLeftCell="A5" activePane="bottomLeft" state="frozen"/>
      <selection pane="bottomLeft" sqref="A1:B1"/>
    </sheetView>
  </sheetViews>
  <sheetFormatPr defaultRowHeight="14.25" x14ac:dyDescent="0.45"/>
  <cols>
    <col min="1" max="1" width="38" customWidth="1"/>
    <col min="2" max="2" width="86" customWidth="1"/>
  </cols>
  <sheetData>
    <row r="1" spans="1:2" ht="24" customHeight="1" x14ac:dyDescent="0.45">
      <c r="A1" s="21" t="s">
        <v>24</v>
      </c>
      <c r="B1" s="20"/>
    </row>
    <row r="2" spans="1:2" ht="32" customHeight="1" x14ac:dyDescent="0.45">
      <c r="A2" s="19" t="s">
        <v>25</v>
      </c>
      <c r="B2" s="20"/>
    </row>
    <row r="4" spans="1:2" ht="17.649999999999999" x14ac:dyDescent="0.45">
      <c r="A4" s="11" t="s">
        <v>26</v>
      </c>
      <c r="B4" s="11" t="s">
        <v>27</v>
      </c>
    </row>
    <row r="5" spans="1:2" ht="22.05" customHeight="1" x14ac:dyDescent="0.45">
      <c r="A5" s="12" t="s">
        <v>28</v>
      </c>
      <c r="B5" s="13" t="s">
        <v>29</v>
      </c>
    </row>
    <row r="6" spans="1:2" ht="22.05" customHeight="1" x14ac:dyDescent="0.45">
      <c r="A6" s="12" t="s">
        <v>30</v>
      </c>
      <c r="B6" s="13" t="s">
        <v>31</v>
      </c>
    </row>
    <row r="7" spans="1:2" ht="22.05" customHeight="1" x14ac:dyDescent="0.45">
      <c r="A7" s="12" t="s">
        <v>32</v>
      </c>
      <c r="B7" s="13" t="s">
        <v>33</v>
      </c>
    </row>
    <row r="8" spans="1:2" ht="22.05" customHeight="1" x14ac:dyDescent="0.45">
      <c r="A8" s="12" t="s">
        <v>34</v>
      </c>
      <c r="B8" s="13" t="s">
        <v>35</v>
      </c>
    </row>
    <row r="9" spans="1:2" ht="22.05" customHeight="1" x14ac:dyDescent="0.45">
      <c r="A9" s="12" t="s">
        <v>36</v>
      </c>
      <c r="B9" s="13" t="s">
        <v>37</v>
      </c>
    </row>
    <row r="10" spans="1:2" ht="22.05" customHeight="1" x14ac:dyDescent="0.45">
      <c r="A10" s="12" t="s">
        <v>38</v>
      </c>
      <c r="B10" s="13" t="s">
        <v>39</v>
      </c>
    </row>
    <row r="11" spans="1:2" ht="44" customHeight="1" x14ac:dyDescent="0.45">
      <c r="A11" s="12" t="s">
        <v>40</v>
      </c>
      <c r="B11" s="13" t="s">
        <v>41</v>
      </c>
    </row>
    <row r="12" spans="1:2" ht="22.05" customHeight="1" x14ac:dyDescent="0.45">
      <c r="A12" s="12" t="s">
        <v>42</v>
      </c>
      <c r="B12" s="13" t="s">
        <v>43</v>
      </c>
    </row>
    <row r="13" spans="1:2" ht="22.05" customHeight="1" x14ac:dyDescent="0.45">
      <c r="A13" s="12" t="s">
        <v>44</v>
      </c>
      <c r="B13" s="13" t="s">
        <v>45</v>
      </c>
    </row>
    <row r="14" spans="1:2" ht="22.05" customHeight="1" x14ac:dyDescent="0.45">
      <c r="A14" s="12" t="s">
        <v>46</v>
      </c>
      <c r="B14" s="13" t="s">
        <v>47</v>
      </c>
    </row>
    <row r="15" spans="1:2" ht="22.05" customHeight="1" x14ac:dyDescent="0.45">
      <c r="A15" s="12" t="s">
        <v>48</v>
      </c>
      <c r="B15" s="13" t="s">
        <v>49</v>
      </c>
    </row>
    <row r="16" spans="1:2" ht="22.05" customHeight="1" x14ac:dyDescent="0.45">
      <c r="A16" s="12" t="s">
        <v>50</v>
      </c>
      <c r="B16" s="13" t="s">
        <v>51</v>
      </c>
    </row>
    <row r="17" spans="1:2" ht="22.05" customHeight="1" x14ac:dyDescent="0.45">
      <c r="A17" s="12" t="s">
        <v>52</v>
      </c>
      <c r="B17" s="13" t="s">
        <v>53</v>
      </c>
    </row>
    <row r="18" spans="1:2" ht="22.05" customHeight="1" x14ac:dyDescent="0.45">
      <c r="A18" s="12" t="s">
        <v>54</v>
      </c>
      <c r="B18" s="13" t="s">
        <v>55</v>
      </c>
    </row>
    <row r="19" spans="1:2" ht="22.05" customHeight="1" x14ac:dyDescent="0.45">
      <c r="A19" s="12" t="s">
        <v>56</v>
      </c>
      <c r="B19" s="13" t="s">
        <v>57</v>
      </c>
    </row>
    <row r="20" spans="1:2" ht="22.05" customHeight="1" x14ac:dyDescent="0.45">
      <c r="A20" s="12" t="s">
        <v>58</v>
      </c>
      <c r="B20" s="13" t="s">
        <v>59</v>
      </c>
    </row>
    <row r="21" spans="1:2" ht="22.05" customHeight="1" x14ac:dyDescent="0.45">
      <c r="A21" s="12" t="s">
        <v>60</v>
      </c>
      <c r="B21" s="13" t="s">
        <v>61</v>
      </c>
    </row>
    <row r="22" spans="1:2" ht="22.05" customHeight="1" x14ac:dyDescent="0.45">
      <c r="A22" s="12" t="s">
        <v>62</v>
      </c>
      <c r="B22" s="13" t="s">
        <v>37</v>
      </c>
    </row>
    <row r="23" spans="1:2" ht="44" customHeight="1" x14ac:dyDescent="0.45">
      <c r="A23" s="12" t="s">
        <v>63</v>
      </c>
      <c r="B23" s="13" t="s">
        <v>64</v>
      </c>
    </row>
    <row r="24" spans="1:2" ht="22.05" customHeight="1" x14ac:dyDescent="0.45">
      <c r="A24" s="12" t="s">
        <v>65</v>
      </c>
      <c r="B24" s="13" t="s">
        <v>66</v>
      </c>
    </row>
    <row r="25" spans="1:2" ht="22.05" customHeight="1" x14ac:dyDescent="0.45">
      <c r="A25" s="12" t="s">
        <v>67</v>
      </c>
      <c r="B25" s="13" t="s">
        <v>68</v>
      </c>
    </row>
    <row r="26" spans="1:2" ht="44" customHeight="1" x14ac:dyDescent="0.45">
      <c r="A26" s="12" t="s">
        <v>69</v>
      </c>
      <c r="B26" s="13" t="s">
        <v>70</v>
      </c>
    </row>
    <row r="27" spans="1:2" ht="44" customHeight="1" x14ac:dyDescent="0.45">
      <c r="A27" s="12" t="s">
        <v>71</v>
      </c>
      <c r="B27" s="13" t="s">
        <v>72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pane ySplit="4" topLeftCell="A5" activePane="bottomLeft" state="frozen"/>
      <selection pane="bottomLeft" activeCell="A5" sqref="A5:D5"/>
    </sheetView>
  </sheetViews>
  <sheetFormatPr defaultRowHeight="14.25" x14ac:dyDescent="0.45"/>
  <cols>
    <col min="1" max="1" width="40" customWidth="1"/>
    <col min="2" max="2" width="52" customWidth="1"/>
    <col min="3" max="3" width="40" customWidth="1"/>
    <col min="4" max="4" width="22" customWidth="1"/>
  </cols>
  <sheetData>
    <row r="1" spans="1:4" ht="24" customHeight="1" x14ac:dyDescent="0.45">
      <c r="A1" s="21" t="s">
        <v>73</v>
      </c>
      <c r="B1" s="20"/>
      <c r="C1" s="20"/>
      <c r="D1" s="20"/>
    </row>
    <row r="2" spans="1:4" ht="32" customHeight="1" x14ac:dyDescent="0.45">
      <c r="A2" s="19" t="s">
        <v>74</v>
      </c>
      <c r="B2" s="20"/>
      <c r="C2" s="20"/>
      <c r="D2" s="20"/>
    </row>
    <row r="4" spans="1:4" ht="17.649999999999999" x14ac:dyDescent="0.45">
      <c r="A4" s="11" t="s">
        <v>75</v>
      </c>
      <c r="B4" s="11" t="s">
        <v>76</v>
      </c>
      <c r="C4" s="11" t="s">
        <v>77</v>
      </c>
      <c r="D4" s="11" t="s">
        <v>78</v>
      </c>
    </row>
    <row r="5" spans="1:4" ht="30" customHeight="1" x14ac:dyDescent="0.45">
      <c r="A5" s="72" t="s">
        <v>244</v>
      </c>
      <c r="B5" s="72" t="s">
        <v>245</v>
      </c>
      <c r="C5" s="72" t="s">
        <v>246</v>
      </c>
      <c r="D5" s="72" t="s">
        <v>247</v>
      </c>
    </row>
    <row r="6" spans="1:4" ht="30" customHeight="1" x14ac:dyDescent="0.45">
      <c r="A6" s="14"/>
      <c r="B6" s="14"/>
      <c r="C6" s="14"/>
      <c r="D6" s="14"/>
    </row>
    <row r="7" spans="1:4" ht="30" customHeight="1" x14ac:dyDescent="0.45">
      <c r="A7" s="14"/>
      <c r="B7" s="14"/>
      <c r="C7" s="14"/>
      <c r="D7" s="14"/>
    </row>
    <row r="8" spans="1:4" ht="30" customHeight="1" x14ac:dyDescent="0.45">
      <c r="A8" s="14"/>
      <c r="B8" s="14"/>
      <c r="C8" s="14"/>
      <c r="D8" s="14"/>
    </row>
    <row r="9" spans="1:4" ht="30" customHeight="1" x14ac:dyDescent="0.45">
      <c r="A9" s="14"/>
      <c r="B9" s="14"/>
      <c r="C9" s="14"/>
      <c r="D9" s="14"/>
    </row>
    <row r="10" spans="1:4" ht="30" customHeight="1" x14ac:dyDescent="0.45">
      <c r="A10" s="14"/>
      <c r="B10" s="14"/>
      <c r="C10" s="14"/>
      <c r="D10" s="14"/>
    </row>
    <row r="11" spans="1:4" ht="30" customHeight="1" x14ac:dyDescent="0.45">
      <c r="A11" s="14"/>
      <c r="B11" s="14"/>
      <c r="C11" s="14"/>
      <c r="D11" s="14"/>
    </row>
    <row r="12" spans="1:4" ht="30" customHeight="1" x14ac:dyDescent="0.45">
      <c r="A12" s="14"/>
      <c r="B12" s="14"/>
      <c r="C12" s="14"/>
      <c r="D12" s="14"/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8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34" customWidth="1"/>
    <col min="2" max="2" width="74" customWidth="1"/>
    <col min="3" max="3" width="46" customWidth="1"/>
  </cols>
  <sheetData>
    <row r="1" spans="1:3" ht="24" customHeight="1" x14ac:dyDescent="0.45">
      <c r="A1" s="21" t="s">
        <v>79</v>
      </c>
      <c r="B1" s="20"/>
      <c r="C1" s="20"/>
    </row>
    <row r="2" spans="1:3" ht="32" customHeight="1" x14ac:dyDescent="0.45">
      <c r="A2" s="19" t="s">
        <v>80</v>
      </c>
      <c r="B2" s="20"/>
      <c r="C2" s="20"/>
    </row>
    <row r="4" spans="1:3" ht="17.649999999999999" x14ac:dyDescent="0.45">
      <c r="A4" s="11" t="s">
        <v>81</v>
      </c>
      <c r="B4" s="11" t="s">
        <v>82</v>
      </c>
    </row>
    <row r="5" spans="1:3" ht="42" customHeight="1" x14ac:dyDescent="0.45">
      <c r="A5" s="15">
        <v>1</v>
      </c>
      <c r="B5" s="13" t="s">
        <v>83</v>
      </c>
    </row>
    <row r="6" spans="1:3" ht="42" customHeight="1" x14ac:dyDescent="0.45">
      <c r="A6" s="15">
        <v>2</v>
      </c>
      <c r="B6" s="13" t="s">
        <v>84</v>
      </c>
    </row>
    <row r="7" spans="1:3" ht="42" customHeight="1" x14ac:dyDescent="0.45">
      <c r="A7" s="15">
        <v>3</v>
      </c>
      <c r="B7" s="13" t="s">
        <v>85</v>
      </c>
    </row>
    <row r="8" spans="1:3" ht="42" customHeight="1" x14ac:dyDescent="0.45">
      <c r="A8" s="15">
        <v>4</v>
      </c>
      <c r="B8" s="13" t="s">
        <v>86</v>
      </c>
    </row>
    <row r="9" spans="1:3" ht="42" customHeight="1" x14ac:dyDescent="0.45">
      <c r="A9" s="15">
        <v>5</v>
      </c>
      <c r="B9" s="13" t="s">
        <v>87</v>
      </c>
    </row>
    <row r="10" spans="1:3" ht="42" customHeight="1" x14ac:dyDescent="0.45">
      <c r="A10" s="15">
        <v>6</v>
      </c>
      <c r="B10" s="13" t="s">
        <v>88</v>
      </c>
    </row>
    <row r="11" spans="1:3" ht="42" customHeight="1" x14ac:dyDescent="0.45">
      <c r="A11" s="15">
        <v>7</v>
      </c>
      <c r="B11" s="13" t="s">
        <v>89</v>
      </c>
    </row>
    <row r="12" spans="1:3" ht="42" customHeight="1" x14ac:dyDescent="0.45">
      <c r="A12" s="15">
        <v>8</v>
      </c>
      <c r="B12" s="13" t="s">
        <v>90</v>
      </c>
    </row>
    <row r="13" spans="1:3" ht="42" customHeight="1" x14ac:dyDescent="0.45">
      <c r="A13" s="15">
        <v>9</v>
      </c>
      <c r="B13" s="13" t="s">
        <v>91</v>
      </c>
    </row>
    <row r="15" spans="1:3" ht="17.649999999999999" x14ac:dyDescent="0.45">
      <c r="A15" s="11" t="s">
        <v>92</v>
      </c>
      <c r="B15" s="11" t="s">
        <v>93</v>
      </c>
      <c r="C15" s="11" t="s">
        <v>94</v>
      </c>
    </row>
    <row r="16" spans="1:3" ht="30" customHeight="1" x14ac:dyDescent="0.45">
      <c r="A16" s="15" t="s">
        <v>95</v>
      </c>
      <c r="B16" s="13" t="s">
        <v>96</v>
      </c>
      <c r="C16" s="13" t="s">
        <v>97</v>
      </c>
    </row>
    <row r="17" spans="1:3" ht="30" customHeight="1" x14ac:dyDescent="0.45">
      <c r="A17" s="15" t="s">
        <v>98</v>
      </c>
      <c r="B17" s="13" t="s">
        <v>99</v>
      </c>
      <c r="C17" s="13" t="s">
        <v>97</v>
      </c>
    </row>
    <row r="18" spans="1:3" ht="30" customHeight="1" x14ac:dyDescent="0.45">
      <c r="A18" s="15" t="s">
        <v>100</v>
      </c>
      <c r="B18" s="13" t="s">
        <v>101</v>
      </c>
      <c r="C18" s="13" t="s">
        <v>97</v>
      </c>
    </row>
    <row r="19" spans="1:3" ht="30" customHeight="1" x14ac:dyDescent="0.45">
      <c r="A19" s="15" t="s">
        <v>102</v>
      </c>
      <c r="B19" s="13" t="s">
        <v>103</v>
      </c>
      <c r="C19" s="13" t="s">
        <v>97</v>
      </c>
    </row>
    <row r="20" spans="1:3" ht="30" customHeight="1" x14ac:dyDescent="0.45">
      <c r="A20" s="15" t="s">
        <v>104</v>
      </c>
      <c r="B20" s="13" t="s">
        <v>105</v>
      </c>
      <c r="C20" s="13" t="s">
        <v>97</v>
      </c>
    </row>
    <row r="21" spans="1:3" ht="30" customHeight="1" x14ac:dyDescent="0.45">
      <c r="A21" s="15" t="s">
        <v>106</v>
      </c>
      <c r="B21" s="13" t="s">
        <v>107</v>
      </c>
      <c r="C21" s="13" t="s">
        <v>97</v>
      </c>
    </row>
    <row r="22" spans="1:3" ht="30" customHeight="1" x14ac:dyDescent="0.45">
      <c r="A22" s="15" t="s">
        <v>108</v>
      </c>
      <c r="B22" s="13" t="s">
        <v>109</v>
      </c>
      <c r="C22" s="13" t="s">
        <v>110</v>
      </c>
    </row>
    <row r="23" spans="1:3" ht="30" customHeight="1" x14ac:dyDescent="0.45">
      <c r="A23" s="15" t="s">
        <v>111</v>
      </c>
      <c r="B23" s="13" t="s">
        <v>112</v>
      </c>
      <c r="C23" s="13" t="s">
        <v>110</v>
      </c>
    </row>
    <row r="24" spans="1:3" ht="30" customHeight="1" x14ac:dyDescent="0.45">
      <c r="A24" s="15" t="s">
        <v>113</v>
      </c>
      <c r="B24" s="13" t="s">
        <v>114</v>
      </c>
      <c r="C24" s="13" t="s">
        <v>110</v>
      </c>
    </row>
    <row r="25" spans="1:3" ht="30" customHeight="1" x14ac:dyDescent="0.45">
      <c r="A25" s="15" t="s">
        <v>115</v>
      </c>
      <c r="B25" s="13" t="s">
        <v>116</v>
      </c>
      <c r="C25" s="13" t="s">
        <v>110</v>
      </c>
    </row>
    <row r="26" spans="1:3" ht="30" customHeight="1" x14ac:dyDescent="0.45">
      <c r="A26" s="15" t="s">
        <v>117</v>
      </c>
      <c r="B26" s="13" t="s">
        <v>118</v>
      </c>
      <c r="C26" s="13" t="s">
        <v>110</v>
      </c>
    </row>
    <row r="27" spans="1:3" ht="30" customHeight="1" x14ac:dyDescent="0.45">
      <c r="A27" s="15" t="s">
        <v>119</v>
      </c>
      <c r="B27" s="13" t="s">
        <v>120</v>
      </c>
      <c r="C27" s="13" t="s">
        <v>110</v>
      </c>
    </row>
    <row r="28" spans="1:3" ht="30" customHeight="1" x14ac:dyDescent="0.45">
      <c r="A28" s="15" t="s">
        <v>121</v>
      </c>
      <c r="B28" s="13" t="s">
        <v>122</v>
      </c>
      <c r="C28" s="13" t="s">
        <v>123</v>
      </c>
    </row>
    <row r="29" spans="1:3" ht="30" customHeight="1" x14ac:dyDescent="0.45">
      <c r="A29" s="15" t="s">
        <v>124</v>
      </c>
      <c r="B29" s="13" t="s">
        <v>125</v>
      </c>
      <c r="C29" s="13" t="s">
        <v>126</v>
      </c>
    </row>
    <row r="30" spans="1:3" ht="30" customHeight="1" x14ac:dyDescent="0.45">
      <c r="A30" s="15" t="s">
        <v>127</v>
      </c>
      <c r="B30" s="13" t="s">
        <v>128</v>
      </c>
      <c r="C30" s="13" t="s">
        <v>129</v>
      </c>
    </row>
    <row r="31" spans="1:3" ht="30" customHeight="1" x14ac:dyDescent="0.45">
      <c r="A31" s="15" t="s">
        <v>130</v>
      </c>
      <c r="B31" s="13" t="s">
        <v>131</v>
      </c>
      <c r="C31" s="13" t="s">
        <v>132</v>
      </c>
    </row>
    <row r="32" spans="1:3" ht="30" customHeight="1" x14ac:dyDescent="0.45">
      <c r="A32" s="15" t="s">
        <v>133</v>
      </c>
      <c r="B32" s="13" t="s">
        <v>134</v>
      </c>
      <c r="C32" s="13" t="s">
        <v>135</v>
      </c>
    </row>
    <row r="33" spans="1:3" ht="30" customHeight="1" x14ac:dyDescent="0.45">
      <c r="A33" s="15" t="s">
        <v>136</v>
      </c>
      <c r="B33" s="13" t="s">
        <v>137</v>
      </c>
      <c r="C33" s="13" t="s">
        <v>138</v>
      </c>
    </row>
    <row r="34" spans="1:3" ht="30" customHeight="1" x14ac:dyDescent="0.45">
      <c r="A34" s="15" t="s">
        <v>139</v>
      </c>
      <c r="B34" s="13" t="s">
        <v>140</v>
      </c>
      <c r="C34" s="13" t="s">
        <v>141</v>
      </c>
    </row>
    <row r="35" spans="1:3" ht="30" customHeight="1" x14ac:dyDescent="0.45">
      <c r="A35" s="15" t="s">
        <v>142</v>
      </c>
      <c r="B35" s="13" t="s">
        <v>143</v>
      </c>
      <c r="C35" s="13" t="s">
        <v>144</v>
      </c>
    </row>
    <row r="36" spans="1:3" ht="30" customHeight="1" x14ac:dyDescent="0.45">
      <c r="A36" s="15" t="s">
        <v>145</v>
      </c>
      <c r="B36" s="13" t="s">
        <v>146</v>
      </c>
      <c r="C36" s="13" t="s">
        <v>147</v>
      </c>
    </row>
    <row r="37" spans="1:3" ht="30" customHeight="1" x14ac:dyDescent="0.45">
      <c r="A37" s="15" t="s">
        <v>148</v>
      </c>
      <c r="B37" s="13" t="s">
        <v>149</v>
      </c>
      <c r="C37" s="13" t="s">
        <v>150</v>
      </c>
    </row>
    <row r="38" spans="1:3" ht="30" customHeight="1" x14ac:dyDescent="0.45">
      <c r="A38" s="15" t="s">
        <v>151</v>
      </c>
      <c r="B38" s="13" t="s">
        <v>152</v>
      </c>
      <c r="C38" s="13" t="s">
        <v>153</v>
      </c>
    </row>
    <row r="39" spans="1:3" ht="30" customHeight="1" x14ac:dyDescent="0.45">
      <c r="A39" s="15" t="s">
        <v>154</v>
      </c>
      <c r="B39" s="13" t="s">
        <v>155</v>
      </c>
      <c r="C39" s="13" t="s">
        <v>156</v>
      </c>
    </row>
    <row r="40" spans="1:3" ht="30" customHeight="1" x14ac:dyDescent="0.45">
      <c r="A40" s="15" t="s">
        <v>157</v>
      </c>
      <c r="B40" s="13" t="s">
        <v>158</v>
      </c>
      <c r="C40" s="13" t="s">
        <v>159</v>
      </c>
    </row>
    <row r="42" spans="1:3" ht="17.649999999999999" x14ac:dyDescent="0.45">
      <c r="A42" s="11" t="s">
        <v>160</v>
      </c>
      <c r="B42" s="11" t="s">
        <v>161</v>
      </c>
    </row>
    <row r="43" spans="1:3" ht="26" customHeight="1" x14ac:dyDescent="0.45">
      <c r="A43" s="16" t="s">
        <v>162</v>
      </c>
      <c r="B43" s="13" t="s">
        <v>163</v>
      </c>
    </row>
    <row r="44" spans="1:3" ht="26" customHeight="1" x14ac:dyDescent="0.45">
      <c r="A44" s="13" t="s">
        <v>164</v>
      </c>
      <c r="B44" s="13" t="s">
        <v>165</v>
      </c>
    </row>
    <row r="45" spans="1:3" ht="26" customHeight="1" x14ac:dyDescent="0.45">
      <c r="A45" s="17" t="s">
        <v>166</v>
      </c>
      <c r="B45" s="13" t="s">
        <v>167</v>
      </c>
    </row>
    <row r="46" spans="1:3" ht="26" customHeight="1" x14ac:dyDescent="0.45">
      <c r="A46" s="18" t="s">
        <v>168</v>
      </c>
      <c r="B46" s="13" t="s">
        <v>169</v>
      </c>
    </row>
    <row r="48" spans="1:3" ht="34.049999999999997" customHeight="1" x14ac:dyDescent="0.45">
      <c r="A48" s="10" t="s">
        <v>20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Statement</vt:lpstr>
      <vt:lpstr>Raw paste</vt:lpstr>
      <vt:lpstr>Sources</vt:lpstr>
      <vt:lpstr>Review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KO consolidated statements of income - recording template</dc:title>
  <dc:subject>Blank template for a recorded SEC-filing-to-Excel transfer</dc:subject>
  <dc:creator>Financial reporting pilot - workbook preparation script</dc:creator>
  <cp:keywords>KO-SOI-RECORDING-TEMPLATE-v1</cp:keywords>
  <dc:description>KO-SOI-RECORDING-TEMPLATE-v1. Blank preparation template. Amounts and formulas are entered in the Excel user interface during the recorded session; nothing is pre-computed here.</dc:description>
  <cp:lastModifiedBy>Financial reporting pilot</cp:lastModifiedBy>
  <dcterms:created xsi:type="dcterms:W3CDTF">2026-01-01T00:00:00Z</dcterms:created>
  <dcterms:modified xsi:type="dcterms:W3CDTF">2026-09-16T19:44:37Z</dcterms:modified>
  <cp:category>Template</cp:category>
</cp:coreProperties>
</file>